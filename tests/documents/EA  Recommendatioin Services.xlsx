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in" sheetId="1" r:id="rId4"/>
    <sheet name="Heatpump" sheetId="2" r:id="rId5"/>
    <sheet name="Insulation - Crawlspace" sheetId="3" r:id="rId6"/>
    <sheet name="Insulation - Walls" sheetId="4" r:id="rId7"/>
    <sheet name="Insulation Attic" sheetId="5" r:id="rId8"/>
    <sheet name="Air Sealing" sheetId="6" r:id="rId9"/>
    <sheet name="Water Heater" sheetId="7" r:id="rId10"/>
    <sheet name="Payback" sheetId="8" r:id="rId11"/>
  </sheets>
</workbook>
</file>

<file path=xl/sharedStrings.xml><?xml version="1.0" encoding="utf-8"?>
<sst xmlns="http://schemas.openxmlformats.org/spreadsheetml/2006/main" uniqueCount="137">
  <si>
    <t>Table 1</t>
  </si>
  <si>
    <t>Category</t>
  </si>
  <si>
    <t>Sub Category</t>
  </si>
  <si>
    <t>Sub Category Detail</t>
  </si>
  <si>
    <t>Recommendation</t>
  </si>
  <si>
    <t>Detail</t>
  </si>
  <si>
    <t>Order of Complemention</t>
  </si>
  <si>
    <t>Estimated Cost</t>
  </si>
  <si>
    <t>Material</t>
  </si>
  <si>
    <t>Labor</t>
  </si>
  <si>
    <t>Estimated kWh savings</t>
  </si>
  <si>
    <t>Rebate Eligible</t>
  </si>
  <si>
    <t>Comments</t>
  </si>
  <si>
    <t>Home Efficiency</t>
  </si>
  <si>
    <t>Insulation</t>
  </si>
  <si>
    <t>Attic</t>
  </si>
  <si>
    <t>Install</t>
  </si>
  <si>
    <t>blown in Cellular</t>
  </si>
  <si>
    <t>Replace</t>
  </si>
  <si>
    <t>Blown-in cellular using R30 for 1,500 sf attic area</t>
  </si>
  <si>
    <t>Repair</t>
  </si>
  <si>
    <t>Air Sealing</t>
  </si>
  <si>
    <t>Remove existing insulation, apply elastomeric</t>
  </si>
  <si>
    <t>1000-1500</t>
  </si>
  <si>
    <t>Whole house $2,500-$4,500 using AeroBarrier from Aero Seal</t>
  </si>
  <si>
    <t>Wall</t>
  </si>
  <si>
    <t>Blown-in cellular using for 1,500 sf attic area</t>
  </si>
  <si>
    <t>2.50sf</t>
  </si>
  <si>
    <t>Crawlspace</t>
  </si>
  <si>
    <t>Air seal</t>
  </si>
  <si>
    <t>Material &amp; Labor Fiberglass batt</t>
  </si>
  <si>
    <t>1350-3000, $90 - $2000</t>
  </si>
  <si>
    <t>Air Sealing - Whole House</t>
  </si>
  <si>
    <t>Weather stripping</t>
  </si>
  <si>
    <t>Ext Doors, outlets, plumbing</t>
  </si>
  <si>
    <t>Air Sealing - Ext Doors, windows</t>
  </si>
  <si>
    <t>Caulking</t>
  </si>
  <si>
    <t>Alignment</t>
  </si>
  <si>
    <t>Exterior doors</t>
  </si>
  <si>
    <t>HVAC</t>
  </si>
  <si>
    <t>Unit</t>
  </si>
  <si>
    <t>Optimization</t>
  </si>
  <si>
    <t>Duct Test</t>
  </si>
  <si>
    <t>Elecrtrical Conversion</t>
  </si>
  <si>
    <t>Replacement Gas</t>
  </si>
  <si>
    <t>Replacement Heatpump</t>
  </si>
  <si>
    <t>Ducting</t>
  </si>
  <si>
    <t>Water Heater</t>
  </si>
  <si>
    <t>Heat pump, Req 30 amp circuit</t>
  </si>
  <si>
    <t>Recirculation</t>
  </si>
  <si>
    <t>Insulate plumbling</t>
  </si>
  <si>
    <t>Electrical</t>
  </si>
  <si>
    <t>Panel Upgrade</t>
  </si>
  <si>
    <t>Replacement</t>
  </si>
  <si>
    <t>Upg to 200amp</t>
  </si>
  <si>
    <t>EMU</t>
  </si>
  <si>
    <t>Solar</t>
  </si>
  <si>
    <t>Appliances</t>
  </si>
  <si>
    <t>Fridge</t>
  </si>
  <si>
    <t>Oven</t>
  </si>
  <si>
    <t>Induction</t>
  </si>
  <si>
    <t>EV</t>
  </si>
  <si>
    <t>Lighting</t>
  </si>
  <si>
    <t>Switches - Sensing outdoor, indoor, adjustable</t>
  </si>
  <si>
    <t>Gas Conversion to Heatpump</t>
  </si>
  <si>
    <t>Component</t>
  </si>
  <si>
    <t>Notes</t>
  </si>
  <si>
    <t>3-Ton Heat Pump &amp; Air Handler</t>
  </si>
  <si>
    <t>$7,500 – $13,000</t>
  </si>
  <si>
    <t>Includes equipment and system installation labor.</t>
  </si>
  <si>
    <t>New Ductwork (Attic)</t>
  </si>
  <si>
    <t>$3,000 – $7,500</t>
  </si>
  <si>
    <t>Assumes 120–180 linear feet for a 1,500 sq. ft. home.</t>
  </si>
  <si>
    <t>Electrical Upgrades</t>
  </si>
  <si>
    <t>$500 – $1,500</t>
  </si>
  <si>
    <t>May be needed to support the high-voltage air handler.</t>
  </si>
  <si>
    <t>Total Project Estimate</t>
  </si>
  <si>
    <t>$11,000 – $22,000</t>
  </si>
  <si>
    <t>Before tax credits and rebates.</t>
  </si>
  <si>
    <t>Insulation - Crawlspace</t>
  </si>
  <si>
    <t>Insulation Type</t>
  </si>
  <si>
    <t>Cost per Sq. Ft. (Installed)</t>
  </si>
  <si>
    <t>Total Estimated Cost</t>
  </si>
  <si>
    <t>Fiberglass Batts</t>
  </si>
  <si>
    <t>$0.90 – $2.00</t>
  </si>
  <si>
    <t>$1,350 – $3,000</t>
  </si>
  <si>
    <t>Rigid Foam Board</t>
  </si>
  <si>
    <t>$1.20 – $4.00</t>
  </si>
  <si>
    <t>$1,800 – $6,000</t>
  </si>
  <si>
    <t>Blown-In (Cellulose)</t>
  </si>
  <si>
    <t>$1.00 – $2.80</t>
  </si>
  <si>
    <t>$1,500 – $4,200</t>
  </si>
  <si>
    <t>Spray Foam (Closed-Cell)</t>
  </si>
  <si>
    <t>$2.00 – $8.00</t>
  </si>
  <si>
    <t>$3,000 – $12,000</t>
  </si>
  <si>
    <t>Insulation Walls</t>
  </si>
  <si>
    <t>Blown-In Cellulose</t>
  </si>
  <si>
    <t>$1.50 – $2.50</t>
  </si>
  <si>
    <t>$1,500 – $2,500</t>
  </si>
  <si>
    <t>Blown-In Fiberglass</t>
  </si>
  <si>
    <t>$1.80 – $3.00</t>
  </si>
  <si>
    <t>$1,800 – $3,000</t>
  </si>
  <si>
    <t>Injection Foam</t>
  </si>
  <si>
    <t>$3.00 – $5.00</t>
  </si>
  <si>
    <t>$3,000 – $5,000</t>
  </si>
  <si>
    <t>Insulation - Attic</t>
  </si>
  <si>
    <t>Blown-In (Cellulose/Fiberglass)</t>
  </si>
  <si>
    <t>Batt &amp; Roll (Fiberglass)</t>
  </si>
  <si>
    <t>$0.80 – $2.60</t>
  </si>
  <si>
    <t>$1,200 – $3,900</t>
  </si>
  <si>
    <t>Spray Foam (Open Cell)</t>
  </si>
  <si>
    <t>$2.00 – $5.00</t>
  </si>
  <si>
    <r>
      <rPr>
        <b val="1"/>
        <sz val="10"/>
        <color indexed="8"/>
        <rFont val="Helvetica Neue"/>
      </rPr>
      <t>HPWH Unit:</t>
    </r>
    <r>
      <rPr>
        <sz val="10"/>
        <color indexed="8"/>
        <rFont val="Helvetica Neue"/>
      </rPr>
      <t xml:space="preserve"> $1,200 – $3,000 for standard 50- to 80-gallon models.</t>
    </r>
  </si>
  <si>
    <r>
      <rPr>
        <b val="1"/>
        <sz val="10"/>
        <color indexed="8"/>
        <rFont val="Helvetica Neue"/>
      </rPr>
      <t>Labor (Plumbing):</t>
    </r>
    <r>
      <rPr>
        <sz val="10"/>
        <color indexed="8"/>
        <rFont val="Helvetica Neue"/>
      </rPr>
      <t xml:space="preserve"> $600 – $2,000 to disconnect the gas line, cap it, install the new unit, and run a necessary condensate drainage line.</t>
    </r>
  </si>
  <si>
    <r>
      <rPr>
        <b val="1"/>
        <sz val="10"/>
        <color indexed="8"/>
        <rFont val="Helvetica Neue"/>
      </rPr>
      <t>Electrical (30 Amp Service):</t>
    </r>
    <r>
      <rPr>
        <sz val="10"/>
        <color indexed="8"/>
        <rFont val="Helvetica Neue"/>
      </rPr>
      <t xml:space="preserve"> Adding a dedicated 30 amp, 240V circuit typically costs </t>
    </r>
    <r>
      <rPr>
        <b val="1"/>
        <sz val="10"/>
        <color indexed="8"/>
        <rFont val="Helvetica Neue"/>
      </rPr>
      <t>$550 – $1,500</t>
    </r>
    <r>
      <rPr>
        <sz val="10"/>
        <color indexed="8"/>
        <rFont val="Helvetica Neue"/>
      </rPr>
      <t xml:space="preserve">. If your existing electrical panel is full, a panel upgrade can add </t>
    </r>
    <r>
      <rPr>
        <b val="1"/>
        <sz val="10"/>
        <color indexed="8"/>
        <rFont val="Helvetica Neue"/>
      </rPr>
      <t>$1,200 – $2,000</t>
    </r>
    <r>
      <rPr>
        <sz val="10"/>
        <color indexed="8"/>
        <rFont val="Helvetica Neue"/>
      </rPr>
      <t>.</t>
    </r>
  </si>
  <si>
    <t>Step 1: Upgrade Solution</t>
  </si>
  <si>
    <t>Step 2: Est. Gross Cost</t>
  </si>
  <si>
    <t>Step 3: Rebates/Tax Credits (-)</t>
  </si>
  <si>
    <t>Step 4: Net Investment</t>
  </si>
  <si>
    <t>Step 5: Est. Annual Savings</t>
  </si>
  <si>
    <t>Simple Payback (Yrs)</t>
  </si>
  <si>
    <t>Air Sealing &amp; Insulation</t>
  </si>
  <si>
    <t>$1,200 (Tax Credit)</t>
  </si>
  <si>
    <t>3.1 Years</t>
  </si>
  <si>
    <t>Heat Pump HVAC</t>
  </si>
  <si>
    <t>$2,000 (Tax) + $1,000 (TECH)</t>
  </si>
  <si>
    <t>9.6 Years</t>
  </si>
  <si>
    <t>Heat Pump Water Heater</t>
  </si>
  <si>
    <t>$2,000 (Tax) + $700 (GS)</t>
  </si>
  <si>
    <t>4.0 Years</t>
  </si>
  <si>
    <t>Solar + Battery (13kWh)</t>
  </si>
  <si>
    <t>30% Tax Credit ($8,400)</t>
  </si>
  <si>
    <t>8.2 Years</t>
  </si>
  <si>
    <t>Calculator</t>
  </si>
  <si>
    <r>
      <rPr>
        <b val="1"/>
        <sz val="10"/>
        <color indexed="8"/>
        <rFont val="Helvetica Neue"/>
      </rPr>
      <t>Net Investment:</t>
    </r>
    <r>
      <rPr>
        <sz val="10"/>
        <color indexed="8"/>
        <rFont val="Helvetica Neue"/>
      </rPr>
      <t xml:space="preserve"> </t>
    </r>
    <r>
      <rPr>
        <sz val="10"/>
        <color indexed="8"/>
        <rFont val="Arial Unicode MS"/>
      </rPr>
      <t>Gross Cost - (Federal Tax Credit + State Rebates)</t>
    </r>
  </si>
  <si>
    <r>
      <rPr>
        <b val="1"/>
        <sz val="10"/>
        <color indexed="8"/>
        <rFont val="Helvetica Neue"/>
      </rPr>
      <t>Simple Payback:</t>
    </r>
    <r>
      <rPr>
        <sz val="10"/>
        <color indexed="8"/>
        <rFont val="Helvetica Neue"/>
      </rPr>
      <t xml:space="preserve"> </t>
    </r>
    <r>
      <rPr>
        <sz val="10"/>
        <color indexed="8"/>
        <rFont val="Arial Unicode MS"/>
      </rPr>
      <t>Net Investment / Annual Energy Savings</t>
    </r>
  </si>
  <si>
    <r>
      <rPr>
        <b val="1"/>
        <sz val="10"/>
        <color indexed="8"/>
        <rFont val="Helvetica Neue"/>
      </rPr>
      <t>ROI (10-Year):</t>
    </r>
    <r>
      <rPr>
        <sz val="10"/>
        <color indexed="8"/>
        <rFont val="Helvetica Neue"/>
      </rPr>
      <t xml:space="preserve"> </t>
    </r>
    <r>
      <rPr>
        <sz val="10"/>
        <color indexed="8"/>
        <rFont val="Arial Unicode MS"/>
      </rPr>
      <t>((10-Year Total Savings - Net Investment) / Net Investment) * 100</t>
    </r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</si>
</sst>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&quot; &quot;;&quot; &quot;* (#,##0);&quot; &quot;* &quot;-&quot;??&quot; &quot;"/>
    <numFmt numFmtId="60" formatCode="&quot;$&quot;#,##0&quot; &quot;;(&quot;$&quot;#,##0)"/>
  </numFmts>
  <fonts count="8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0"/>
      <color indexed="8"/>
      <name val="Arial"/>
    </font>
    <font>
      <b val="1"/>
      <sz val="12"/>
      <color indexed="8"/>
      <name val="Helvetica Neue"/>
    </font>
    <font>
      <b val="1"/>
      <sz val="10"/>
      <color indexed="8"/>
      <name val="Arial"/>
    </font>
    <font>
      <sz val="10"/>
      <color indexed="8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/>
      <bottom/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15"/>
      </bottom>
      <diagonal/>
    </border>
    <border>
      <left style="medium">
        <color indexed="15"/>
      </left>
      <right style="medium">
        <color indexed="15"/>
      </right>
      <top style="medium">
        <color indexed="15"/>
      </top>
      <bottom style="medium">
        <color indexed="15"/>
      </bottom>
      <diagonal/>
    </border>
    <border>
      <left style="thin">
        <color indexed="10"/>
      </left>
      <right style="thin">
        <color indexed="10"/>
      </right>
      <top style="medium">
        <color indexed="15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15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0" fillId="2" borderId="3" applyNumberFormat="0" applyFont="1" applyFill="1" applyBorder="1" applyAlignment="1" applyProtection="0">
      <alignment vertical="top" wrapText="1"/>
    </xf>
    <xf numFmtId="49" fontId="3" fillId="3" borderId="4" applyNumberFormat="1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49" fontId="3" fillId="4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49" fontId="0" fillId="2" borderId="8" applyNumberFormat="1" applyFont="1" applyFill="1" applyBorder="1" applyAlignment="1" applyProtection="0">
      <alignment vertical="top" wrapText="1"/>
    </xf>
    <xf numFmtId="0" fontId="0" fillId="2" borderId="8" applyNumberFormat="1" applyFont="1" applyFill="1" applyBorder="1" applyAlignment="1" applyProtection="0">
      <alignment vertical="top" wrapText="1"/>
    </xf>
    <xf numFmtId="59" fontId="0" fillId="2" borderId="8" applyNumberFormat="1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49" fontId="3" fillId="4" borderId="10" applyNumberFormat="1" applyFont="1" applyFill="1" applyBorder="1" applyAlignment="1" applyProtection="0">
      <alignment vertical="top" wrapText="1"/>
    </xf>
    <xf numFmtId="49" fontId="0" fillId="2" borderId="11" applyNumberFormat="1" applyFont="1" applyFill="1" applyBorder="1" applyAlignment="1" applyProtection="0">
      <alignment vertical="top" wrapText="1"/>
    </xf>
    <xf numFmtId="49" fontId="0" fillId="2" borderId="12" applyNumberFormat="1" applyFont="1" applyFill="1" applyBorder="1" applyAlignment="1" applyProtection="0">
      <alignment vertical="top" wrapText="1"/>
    </xf>
    <xf numFmtId="0" fontId="0" fillId="2" borderId="12" applyNumberFormat="1" applyFont="1" applyFill="1" applyBorder="1" applyAlignment="1" applyProtection="0">
      <alignment vertical="top" wrapText="1"/>
    </xf>
    <xf numFmtId="59" fontId="0" fillId="2" borderId="12" applyNumberFormat="1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49" fontId="3" fillId="4" borderId="12" applyNumberFormat="1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4" applyNumberFormat="1" applyFont="1" applyFill="0" applyBorder="1" applyAlignment="1" applyProtection="0">
      <alignment vertical="top" wrapText="1"/>
    </xf>
    <xf numFmtId="0" fontId="0" borderId="14" applyNumberFormat="0" applyFont="1" applyFill="0" applyBorder="1" applyAlignment="1" applyProtection="0">
      <alignment vertical="top" wrapText="1"/>
    </xf>
    <xf numFmtId="49" fontId="4" fillId="2" borderId="15" applyNumberFormat="1" applyFont="1" applyFill="1" applyBorder="1" applyAlignment="1" applyProtection="0">
      <alignment vertical="bottom" wrapText="1"/>
    </xf>
    <xf numFmtId="0" fontId="4" fillId="2" borderId="15" applyNumberFormat="0" applyFont="1" applyFill="1" applyBorder="1" applyAlignment="1" applyProtection="0">
      <alignment vertical="bottom" wrapText="1"/>
    </xf>
    <xf numFmtId="49" fontId="4" fillId="2" borderId="15" applyNumberFormat="1" applyFont="1" applyFill="1" applyBorder="1" applyAlignment="1" applyProtection="0">
      <alignment vertical="center"/>
    </xf>
    <xf numFmtId="0" fontId="0" borderId="16" applyNumberFormat="0" applyFont="1" applyFill="0" applyBorder="1" applyAlignment="1" applyProtection="0">
      <alignment vertical="top" wrapText="1"/>
    </xf>
    <xf numFmtId="0" fontId="0" borderId="1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5" borderId="14" applyNumberFormat="1" applyFont="1" applyFill="0" applyBorder="1" applyAlignment="1" applyProtection="0">
      <alignment vertical="top" wrapText="1"/>
    </xf>
    <xf numFmtId="0" fontId="5" borderId="14" applyNumberFormat="0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borderId="17" applyNumberFormat="1" applyFont="1" applyFill="0" applyBorder="1" applyAlignment="1" applyProtection="0">
      <alignment vertical="top" wrapText="1"/>
    </xf>
    <xf numFmtId="0" fontId="1" borderId="17" applyNumberFormat="0" applyFont="1" applyFill="0" applyBorder="1" applyAlignment="1" applyProtection="0">
      <alignment vertical="top" wrapText="1"/>
    </xf>
    <xf numFmtId="49" fontId="3" borderId="1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6" fillId="5" borderId="15" applyNumberFormat="1" applyFont="1" applyFill="1" applyBorder="1" applyAlignment="1" applyProtection="0">
      <alignment vertical="bottom" wrapText="1"/>
    </xf>
    <xf numFmtId="49" fontId="6" fillId="5" borderId="15" applyNumberFormat="1" applyFont="1" applyFill="1" applyBorder="1" applyAlignment="1" applyProtection="0">
      <alignment vertical="center"/>
    </xf>
    <xf numFmtId="60" fontId="4" fillId="2" borderId="15" applyNumberFormat="1" applyFont="1" applyFill="1" applyBorder="1" applyAlignment="1" applyProtection="0">
      <alignment horizontal="right" vertical="bottom" wrapText="1"/>
    </xf>
    <xf numFmtId="49" fontId="4" fillId="2" borderId="17" applyNumberFormat="1" applyFont="1" applyFill="1" applyBorder="1" applyAlignment="1" applyProtection="0">
      <alignment vertical="bottom" wrapText="1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ffcccccc"/>
      <rgbColor rgb="ff00a2ff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32"/>
  <sheetViews>
    <sheetView workbookViewId="0" showGridLines="0" defaultGridColor="1"/>
  </sheetViews>
  <sheetFormatPr defaultColWidth="16.3333" defaultRowHeight="19.9" customHeight="1" outlineLevelRow="0" outlineLevelCol="0"/>
  <cols>
    <col min="1" max="4" width="16.3516" style="1" customWidth="1"/>
    <col min="5" max="5" width="22.5" style="1" customWidth="1"/>
    <col min="6" max="6" width="16.3516" style="1" customWidth="1"/>
    <col min="7" max="7" width="12.3516" style="1" customWidth="1"/>
    <col min="8" max="8" width="12.5" style="1" customWidth="1"/>
    <col min="9" max="9" width="11.6719" style="1" customWidth="1"/>
    <col min="10" max="12" width="16.3516" style="1" customWidth="1"/>
    <col min="13" max="16384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32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6">
        <v>12</v>
      </c>
    </row>
    <row r="3" ht="20.25" customHeight="1">
      <c r="A3" t="s" s="7">
        <v>13</v>
      </c>
      <c r="B3" t="s" s="8">
        <v>14</v>
      </c>
      <c r="C3" t="s" s="9">
        <v>15</v>
      </c>
      <c r="D3" t="s" s="9">
        <v>16</v>
      </c>
      <c r="E3" t="s" s="9">
        <v>17</v>
      </c>
      <c r="F3" s="10">
        <v>4</v>
      </c>
      <c r="G3" s="11"/>
      <c r="H3" s="11"/>
      <c r="I3" s="11"/>
      <c r="J3" s="12"/>
      <c r="K3" s="12"/>
      <c r="L3" s="13"/>
    </row>
    <row r="4" ht="20" customHeight="1">
      <c r="A4" t="s" s="14">
        <v>13</v>
      </c>
      <c r="B4" t="s" s="15">
        <v>14</v>
      </c>
      <c r="C4" t="s" s="16">
        <v>15</v>
      </c>
      <c r="D4" t="s" s="16">
        <v>18</v>
      </c>
      <c r="E4" t="s" s="16">
        <v>19</v>
      </c>
      <c r="F4" s="17">
        <v>4</v>
      </c>
      <c r="G4" s="18">
        <v>2700</v>
      </c>
      <c r="H4" s="18"/>
      <c r="I4" s="18"/>
      <c r="J4" s="19"/>
      <c r="K4" s="19"/>
      <c r="L4" s="13"/>
    </row>
    <row r="5" ht="20" customHeight="1">
      <c r="A5" t="s" s="14">
        <v>13</v>
      </c>
      <c r="B5" t="s" s="15">
        <v>14</v>
      </c>
      <c r="C5" t="s" s="16">
        <v>15</v>
      </c>
      <c r="D5" t="s" s="16">
        <v>20</v>
      </c>
      <c r="E5" s="16"/>
      <c r="F5" s="19"/>
      <c r="G5" s="18"/>
      <c r="H5" s="18"/>
      <c r="I5" s="18"/>
      <c r="J5" s="19"/>
      <c r="K5" s="19"/>
      <c r="L5" s="13"/>
    </row>
    <row r="6" ht="29" customHeight="1">
      <c r="A6" t="s" s="14">
        <v>13</v>
      </c>
      <c r="B6" t="s" s="15">
        <v>21</v>
      </c>
      <c r="C6" t="s" s="16">
        <v>15</v>
      </c>
      <c r="D6" t="s" s="16">
        <v>21</v>
      </c>
      <c r="E6" t="s" s="16">
        <v>22</v>
      </c>
      <c r="F6" s="19"/>
      <c r="G6" t="s" s="16">
        <v>23</v>
      </c>
      <c r="H6" s="18"/>
      <c r="I6" s="18"/>
      <c r="J6" s="19"/>
      <c r="K6" s="19"/>
      <c r="L6" t="s" s="20">
        <v>24</v>
      </c>
    </row>
    <row r="7" ht="29.5" customHeight="1">
      <c r="A7" t="s" s="14">
        <v>13</v>
      </c>
      <c r="B7" t="s" s="15">
        <v>14</v>
      </c>
      <c r="C7" t="s" s="16">
        <v>25</v>
      </c>
      <c r="D7" t="s" s="16">
        <v>16</v>
      </c>
      <c r="E7" t="s" s="16">
        <v>26</v>
      </c>
      <c r="F7" s="17">
        <v>4</v>
      </c>
      <c r="G7" s="18"/>
      <c r="H7" s="18"/>
      <c r="I7" s="18"/>
      <c r="J7" s="19"/>
      <c r="K7" s="19"/>
      <c r="L7" t="s" s="20">
        <v>27</v>
      </c>
    </row>
    <row r="8" ht="20" customHeight="1">
      <c r="A8" t="s" s="14">
        <v>13</v>
      </c>
      <c r="B8" t="s" s="15">
        <v>14</v>
      </c>
      <c r="C8" t="s" s="16">
        <v>28</v>
      </c>
      <c r="D8" t="s" s="16">
        <v>16</v>
      </c>
      <c r="E8" t="s" s="16">
        <v>29</v>
      </c>
      <c r="F8" s="17">
        <v>4</v>
      </c>
      <c r="G8" s="18"/>
      <c r="H8" s="18"/>
      <c r="I8" s="18"/>
      <c r="J8" s="19"/>
      <c r="K8" s="19"/>
      <c r="L8" s="13"/>
    </row>
    <row r="9" ht="20" customHeight="1">
      <c r="A9" t="s" s="14">
        <v>13</v>
      </c>
      <c r="B9" t="s" s="15">
        <v>14</v>
      </c>
      <c r="C9" s="16"/>
      <c r="D9" t="s" s="16">
        <v>20</v>
      </c>
      <c r="E9" t="s" s="16">
        <v>30</v>
      </c>
      <c r="F9" s="19"/>
      <c r="G9" s="18">
        <v>2000</v>
      </c>
      <c r="H9" s="18"/>
      <c r="I9" s="18"/>
      <c r="J9" s="19"/>
      <c r="K9" s="19"/>
      <c r="L9" t="s" s="20">
        <v>31</v>
      </c>
    </row>
    <row r="10" ht="20" customHeight="1">
      <c r="A10" t="s" s="14">
        <v>13</v>
      </c>
      <c r="B10" t="s" s="15">
        <v>14</v>
      </c>
      <c r="C10" t="s" s="16">
        <v>28</v>
      </c>
      <c r="D10" t="s" s="16">
        <v>18</v>
      </c>
      <c r="E10" s="16"/>
      <c r="F10" s="17">
        <v>4</v>
      </c>
      <c r="G10" s="18"/>
      <c r="H10" s="18"/>
      <c r="I10" s="18"/>
      <c r="J10" s="19"/>
      <c r="K10" s="19"/>
      <c r="L10" s="13"/>
    </row>
    <row r="11" ht="30.5" customHeight="1">
      <c r="A11" t="s" s="14">
        <v>13</v>
      </c>
      <c r="B11" t="s" s="15">
        <v>32</v>
      </c>
      <c r="C11" t="s" s="16">
        <v>33</v>
      </c>
      <c r="D11" t="s" s="16">
        <v>16</v>
      </c>
      <c r="E11" t="s" s="16">
        <v>34</v>
      </c>
      <c r="F11" s="17">
        <v>3</v>
      </c>
      <c r="G11" s="18"/>
      <c r="H11" s="18"/>
      <c r="I11" s="18"/>
      <c r="J11" s="19"/>
      <c r="K11" s="19"/>
      <c r="L11" s="13"/>
    </row>
    <row r="12" ht="28" customHeight="1">
      <c r="A12" t="s" s="14">
        <v>13</v>
      </c>
      <c r="B12" t="s" s="15">
        <v>35</v>
      </c>
      <c r="C12" t="s" s="16">
        <v>36</v>
      </c>
      <c r="D12" t="s" s="16">
        <v>16</v>
      </c>
      <c r="E12" s="16"/>
      <c r="F12" s="17">
        <v>3</v>
      </c>
      <c r="G12" s="18"/>
      <c r="H12" s="18"/>
      <c r="I12" s="18"/>
      <c r="J12" s="19"/>
      <c r="K12" s="19"/>
      <c r="L12" s="13"/>
    </row>
    <row r="13" ht="20" customHeight="1">
      <c r="A13" t="s" s="14">
        <v>13</v>
      </c>
      <c r="B13" t="s" s="15">
        <v>37</v>
      </c>
      <c r="C13" t="s" s="16">
        <v>38</v>
      </c>
      <c r="D13" t="s" s="16">
        <v>16</v>
      </c>
      <c r="E13" s="16"/>
      <c r="F13" s="17">
        <v>3</v>
      </c>
      <c r="G13" s="18"/>
      <c r="H13" s="18"/>
      <c r="I13" s="18"/>
      <c r="J13" s="19"/>
      <c r="K13" s="19"/>
      <c r="L13" s="13"/>
    </row>
    <row r="14" ht="20" customHeight="1">
      <c r="A14" t="s" s="14">
        <v>39</v>
      </c>
      <c r="B14" t="s" s="15">
        <v>40</v>
      </c>
      <c r="C14" s="19"/>
      <c r="D14" t="s" s="16">
        <v>41</v>
      </c>
      <c r="E14" s="16"/>
      <c r="F14" s="17">
        <v>6</v>
      </c>
      <c r="G14" s="18"/>
      <c r="H14" s="18"/>
      <c r="I14" s="18"/>
      <c r="J14" s="19"/>
      <c r="K14" s="19"/>
      <c r="L14" s="13"/>
    </row>
    <row r="15" ht="20" customHeight="1">
      <c r="A15" t="s" s="14">
        <v>39</v>
      </c>
      <c r="B15" t="s" s="15">
        <v>40</v>
      </c>
      <c r="C15" s="19"/>
      <c r="D15" t="s" s="16">
        <v>42</v>
      </c>
      <c r="E15" s="16"/>
      <c r="F15" s="19"/>
      <c r="G15" s="18">
        <v>350</v>
      </c>
      <c r="H15" s="18"/>
      <c r="I15" s="18"/>
      <c r="J15" s="19"/>
      <c r="K15" s="19"/>
      <c r="L15" s="13"/>
    </row>
    <row r="16" ht="20" customHeight="1">
      <c r="A16" t="s" s="14">
        <v>39</v>
      </c>
      <c r="B16" t="s" s="15">
        <v>40</v>
      </c>
      <c r="C16" s="19"/>
      <c r="D16" t="s" s="16">
        <v>20</v>
      </c>
      <c r="E16" s="16"/>
      <c r="F16" s="17">
        <v>6</v>
      </c>
      <c r="G16" s="18"/>
      <c r="H16" s="18"/>
      <c r="I16" s="18"/>
      <c r="J16" s="19"/>
      <c r="K16" s="19"/>
      <c r="L16" s="13"/>
    </row>
    <row r="17" ht="20" customHeight="1">
      <c r="A17" t="s" s="14">
        <v>39</v>
      </c>
      <c r="B17" t="s" s="15">
        <v>43</v>
      </c>
      <c r="C17" s="19"/>
      <c r="D17" t="s" s="16">
        <v>44</v>
      </c>
      <c r="E17" s="16"/>
      <c r="F17" s="17">
        <v>6</v>
      </c>
      <c r="G17" s="18"/>
      <c r="H17" s="18"/>
      <c r="I17" s="18"/>
      <c r="J17" s="19"/>
      <c r="K17" s="19"/>
      <c r="L17" s="13"/>
    </row>
    <row r="18" ht="32" customHeight="1">
      <c r="A18" t="s" s="14">
        <v>39</v>
      </c>
      <c r="B18" t="s" s="15">
        <v>40</v>
      </c>
      <c r="C18" s="19"/>
      <c r="D18" t="s" s="16">
        <v>45</v>
      </c>
      <c r="E18" s="16"/>
      <c r="F18" s="17">
        <v>6</v>
      </c>
      <c r="G18" s="18"/>
      <c r="H18" s="18"/>
      <c r="I18" s="18"/>
      <c r="J18" s="19"/>
      <c r="K18" s="19"/>
      <c r="L18" s="13"/>
    </row>
    <row r="19" ht="20" customHeight="1">
      <c r="A19" t="s" s="14">
        <v>39</v>
      </c>
      <c r="B19" t="s" s="15">
        <v>46</v>
      </c>
      <c r="C19" s="19"/>
      <c r="D19" t="s" s="16">
        <v>20</v>
      </c>
      <c r="E19" s="16"/>
      <c r="F19" s="17">
        <v>5</v>
      </c>
      <c r="G19" s="18">
        <v>1000</v>
      </c>
      <c r="H19" s="18">
        <v>250</v>
      </c>
      <c r="I19" s="18">
        <v>750</v>
      </c>
      <c r="J19" s="19"/>
      <c r="K19" s="19"/>
      <c r="L19" s="13"/>
    </row>
    <row r="20" ht="20" customHeight="1">
      <c r="A20" t="s" s="14">
        <v>39</v>
      </c>
      <c r="B20" t="s" s="15">
        <v>46</v>
      </c>
      <c r="C20" s="19"/>
      <c r="D20" t="s" s="16">
        <v>18</v>
      </c>
      <c r="E20" s="16"/>
      <c r="F20" s="17">
        <v>5</v>
      </c>
      <c r="G20" s="18">
        <v>3000</v>
      </c>
      <c r="H20" s="18"/>
      <c r="I20" s="18"/>
      <c r="J20" s="19"/>
      <c r="K20" s="19"/>
      <c r="L20" s="13"/>
    </row>
    <row r="21" ht="29" customHeight="1">
      <c r="A21" t="s" s="21">
        <v>47</v>
      </c>
      <c r="B21" t="s" s="14">
        <v>47</v>
      </c>
      <c r="C21" s="22"/>
      <c r="D21" t="s" s="16">
        <v>48</v>
      </c>
      <c r="E21" s="16"/>
      <c r="F21" s="19"/>
      <c r="G21" s="18">
        <v>3500</v>
      </c>
      <c r="H21" s="18">
        <v>1750</v>
      </c>
      <c r="I21" s="18"/>
      <c r="J21" s="19"/>
      <c r="K21" s="19"/>
      <c r="L21" s="13"/>
    </row>
    <row r="22" ht="20" customHeight="1">
      <c r="A22" t="s" s="21">
        <v>47</v>
      </c>
      <c r="B22" t="s" s="14">
        <v>47</v>
      </c>
      <c r="C22" s="22"/>
      <c r="D22" t="s" s="16">
        <v>49</v>
      </c>
      <c r="E22" s="16"/>
      <c r="F22" s="19"/>
      <c r="G22" s="18"/>
      <c r="H22" s="18"/>
      <c r="I22" s="18"/>
      <c r="J22" s="19"/>
      <c r="K22" s="19"/>
      <c r="L22" s="13"/>
    </row>
    <row r="23" ht="20" customHeight="1">
      <c r="A23" t="s" s="21">
        <v>47</v>
      </c>
      <c r="B23" t="s" s="14">
        <v>47</v>
      </c>
      <c r="C23" s="22"/>
      <c r="D23" t="s" s="16">
        <v>50</v>
      </c>
      <c r="E23" s="16"/>
      <c r="F23" s="19"/>
      <c r="G23" s="18"/>
      <c r="H23" s="18">
        <v>30</v>
      </c>
      <c r="I23" s="18"/>
      <c r="J23" s="19"/>
      <c r="K23" s="19"/>
      <c r="L23" s="13"/>
    </row>
    <row r="24" ht="20" customHeight="1">
      <c r="A24" t="s" s="14">
        <v>51</v>
      </c>
      <c r="B24" t="s" s="15">
        <v>52</v>
      </c>
      <c r="C24" t="s" s="16">
        <v>53</v>
      </c>
      <c r="D24" t="s" s="16">
        <v>54</v>
      </c>
      <c r="E24" s="16"/>
      <c r="F24" s="19"/>
      <c r="G24" s="18">
        <f>250+20*10</f>
        <v>450</v>
      </c>
      <c r="H24" s="18"/>
      <c r="I24" s="18"/>
      <c r="J24" s="19"/>
      <c r="K24" s="19"/>
      <c r="L24" s="13"/>
    </row>
    <row r="25" ht="20" customHeight="1">
      <c r="A25" t="s" s="14">
        <v>51</v>
      </c>
      <c r="B25" t="s" s="15">
        <v>55</v>
      </c>
      <c r="C25" s="19"/>
      <c r="D25" s="16"/>
      <c r="E25" s="16"/>
      <c r="F25" s="19"/>
      <c r="G25" s="18"/>
      <c r="H25" s="18">
        <v>250</v>
      </c>
      <c r="I25" s="18">
        <v>150</v>
      </c>
      <c r="J25" s="19"/>
      <c r="K25" s="19"/>
      <c r="L25" s="13"/>
    </row>
    <row r="26" ht="20" customHeight="1">
      <c r="A26" t="s" s="14">
        <v>51</v>
      </c>
      <c r="B26" t="s" s="15">
        <v>56</v>
      </c>
      <c r="C26" s="19"/>
      <c r="D26" t="s" s="16">
        <v>41</v>
      </c>
      <c r="E26" s="16"/>
      <c r="F26" s="17">
        <v>7</v>
      </c>
      <c r="G26" s="18"/>
      <c r="H26" s="18"/>
      <c r="I26" s="18"/>
      <c r="J26" s="19"/>
      <c r="K26" s="19"/>
      <c r="L26" s="13"/>
    </row>
    <row r="27" ht="20" customHeight="1">
      <c r="A27" t="s" s="14">
        <v>51</v>
      </c>
      <c r="B27" t="s" s="15">
        <v>56</v>
      </c>
      <c r="C27" s="19"/>
      <c r="D27" t="s" s="16">
        <v>16</v>
      </c>
      <c r="E27" s="16"/>
      <c r="F27" s="17">
        <v>7</v>
      </c>
      <c r="G27" s="18"/>
      <c r="H27" s="18"/>
      <c r="I27" s="18"/>
      <c r="J27" s="19"/>
      <c r="K27" s="19"/>
      <c r="L27" s="13"/>
    </row>
    <row r="28" ht="20" customHeight="1">
      <c r="A28" t="s" s="14">
        <v>51</v>
      </c>
      <c r="B28" t="s" s="15">
        <v>57</v>
      </c>
      <c r="C28" t="s" s="16">
        <v>58</v>
      </c>
      <c r="D28" t="s" s="16">
        <v>18</v>
      </c>
      <c r="E28" s="16"/>
      <c r="F28" s="17">
        <v>2</v>
      </c>
      <c r="G28" s="18"/>
      <c r="H28" s="18"/>
      <c r="I28" s="18"/>
      <c r="J28" s="19"/>
      <c r="K28" s="19"/>
      <c r="L28" s="13"/>
    </row>
    <row r="29" ht="20" customHeight="1">
      <c r="A29" t="s" s="14">
        <v>51</v>
      </c>
      <c r="B29" t="s" s="15">
        <v>57</v>
      </c>
      <c r="C29" t="s" s="16">
        <v>59</v>
      </c>
      <c r="D29" t="s" s="16">
        <v>60</v>
      </c>
      <c r="E29" s="16"/>
      <c r="F29" s="17">
        <v>2</v>
      </c>
      <c r="G29" s="18"/>
      <c r="H29" s="18"/>
      <c r="I29" s="18"/>
      <c r="J29" s="19"/>
      <c r="K29" s="19"/>
      <c r="L29" s="13"/>
    </row>
    <row r="30" ht="20" customHeight="1">
      <c r="A30" t="s" s="14">
        <v>51</v>
      </c>
      <c r="B30" t="s" s="15">
        <v>57</v>
      </c>
      <c r="C30" t="s" s="16">
        <v>61</v>
      </c>
      <c r="D30" t="s" s="16">
        <v>18</v>
      </c>
      <c r="E30" s="16"/>
      <c r="F30" s="17">
        <v>2</v>
      </c>
      <c r="G30" s="18"/>
      <c r="H30" s="18"/>
      <c r="I30" s="18"/>
      <c r="J30" s="19"/>
      <c r="K30" s="19"/>
      <c r="L30" s="13"/>
    </row>
    <row r="31" ht="31.5" customHeight="1">
      <c r="A31" t="s" s="14">
        <v>51</v>
      </c>
      <c r="B31" t="s" s="15">
        <v>62</v>
      </c>
      <c r="C31" s="19"/>
      <c r="D31" t="s" s="16">
        <v>41</v>
      </c>
      <c r="E31" t="s" s="16">
        <v>63</v>
      </c>
      <c r="F31" s="17">
        <v>1</v>
      </c>
      <c r="G31" s="18"/>
      <c r="H31" s="18"/>
      <c r="I31" s="18"/>
      <c r="J31" s="19"/>
      <c r="K31" s="19"/>
      <c r="L31" s="13"/>
    </row>
    <row r="32" ht="20" customHeight="1">
      <c r="A32" t="s" s="14">
        <v>51</v>
      </c>
      <c r="B32" t="s" s="15">
        <v>62</v>
      </c>
      <c r="C32" s="19"/>
      <c r="D32" t="s" s="16">
        <v>18</v>
      </c>
      <c r="E32" s="16"/>
      <c r="F32" s="17">
        <v>1</v>
      </c>
      <c r="G32" s="18"/>
      <c r="H32" s="18"/>
      <c r="I32" s="18"/>
      <c r="J32" s="19"/>
      <c r="K32" s="19"/>
      <c r="L32" s="23"/>
    </row>
  </sheetData>
  <mergeCells count="1">
    <mergeCell ref="A1:K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2.5" customHeight="1" outlineLevelRow="0" outlineLevelCol="0"/>
  <cols>
    <col min="1" max="5" width="8.85156" style="24" customWidth="1"/>
    <col min="6" max="16384" width="8.85156" style="24" customWidth="1"/>
  </cols>
  <sheetData>
    <row r="1" ht="63" customHeight="1">
      <c r="A1" t="s" s="25">
        <v>64</v>
      </c>
      <c r="B1" s="26"/>
      <c r="C1" s="26"/>
      <c r="D1" s="26"/>
      <c r="E1" s="26"/>
    </row>
    <row r="2" ht="25.5" customHeight="1">
      <c r="A2" t="s" s="27">
        <v>65</v>
      </c>
      <c r="B2" t="s" s="27">
        <v>7</v>
      </c>
      <c r="C2" t="s" s="27">
        <v>66</v>
      </c>
      <c r="D2" s="28"/>
      <c r="E2" s="28"/>
    </row>
    <row r="3" ht="63" customHeight="1">
      <c r="A3" t="s" s="27">
        <v>67</v>
      </c>
      <c r="B3" t="s" s="27">
        <v>68</v>
      </c>
      <c r="C3" t="s" s="29">
        <v>69</v>
      </c>
      <c r="D3" s="28"/>
      <c r="E3" s="28"/>
    </row>
    <row r="4" ht="38" customHeight="1">
      <c r="A4" t="s" s="27">
        <v>70</v>
      </c>
      <c r="B4" t="s" s="27">
        <v>71</v>
      </c>
      <c r="C4" t="s" s="29">
        <v>72</v>
      </c>
      <c r="D4" s="28"/>
      <c r="E4" s="28"/>
    </row>
    <row r="5" ht="25.5" customHeight="1">
      <c r="A5" t="s" s="27">
        <v>73</v>
      </c>
      <c r="B5" t="s" s="27">
        <v>74</v>
      </c>
      <c r="C5" t="s" s="29">
        <v>75</v>
      </c>
      <c r="D5" s="28"/>
      <c r="E5" s="28"/>
    </row>
    <row r="6" ht="38" customHeight="1">
      <c r="A6" t="s" s="27">
        <v>76</v>
      </c>
      <c r="B6" t="s" s="27">
        <v>77</v>
      </c>
      <c r="C6" t="s" s="29">
        <v>78</v>
      </c>
      <c r="D6" s="28"/>
      <c r="E6" s="28"/>
    </row>
    <row r="7" ht="15.2" customHeight="1">
      <c r="A7" s="30"/>
      <c r="B7" s="30"/>
      <c r="C7" s="30"/>
      <c r="D7" s="30"/>
      <c r="E7" s="30"/>
    </row>
    <row r="8" ht="14.7" customHeight="1">
      <c r="A8" s="31"/>
      <c r="B8" s="31"/>
      <c r="C8" s="31"/>
      <c r="D8" s="31"/>
      <c r="E8" s="31"/>
    </row>
    <row r="9" ht="14.7" customHeight="1">
      <c r="A9" s="31"/>
      <c r="B9" s="31"/>
      <c r="C9" s="31"/>
      <c r="D9" s="31"/>
      <c r="E9" s="31"/>
    </row>
    <row r="10" ht="14.7" customHeight="1">
      <c r="A10" s="31"/>
      <c r="B10" s="31"/>
      <c r="C10" s="31"/>
      <c r="D10" s="31"/>
      <c r="E10" s="3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2.5" customHeight="1" outlineLevelRow="0" outlineLevelCol="0"/>
  <cols>
    <col min="1" max="5" width="8.85156" style="32" customWidth="1"/>
    <col min="6" max="16384" width="8.85156" style="32" customWidth="1"/>
  </cols>
  <sheetData>
    <row r="1" ht="16" customHeight="1">
      <c r="A1" t="s" s="33">
        <v>79</v>
      </c>
      <c r="B1" s="34"/>
      <c r="C1" s="34"/>
      <c r="D1" s="31"/>
      <c r="E1" s="31"/>
    </row>
    <row r="2" ht="38" customHeight="1">
      <c r="A2" t="s" s="27">
        <v>80</v>
      </c>
      <c r="B2" t="s" s="27">
        <v>81</v>
      </c>
      <c r="C2" t="s" s="29">
        <v>82</v>
      </c>
      <c r="D2" s="35"/>
      <c r="E2" s="31"/>
    </row>
    <row r="3" ht="25.5" customHeight="1">
      <c r="A3" t="s" s="27">
        <v>83</v>
      </c>
      <c r="B3" t="s" s="27">
        <v>84</v>
      </c>
      <c r="C3" t="s" s="27">
        <v>85</v>
      </c>
      <c r="D3" s="35"/>
      <c r="E3" s="31"/>
    </row>
    <row r="4" ht="38" customHeight="1">
      <c r="A4" t="s" s="27">
        <v>86</v>
      </c>
      <c r="B4" t="s" s="27">
        <v>87</v>
      </c>
      <c r="C4" t="s" s="27">
        <v>88</v>
      </c>
      <c r="D4" s="35"/>
      <c r="E4" s="31"/>
    </row>
    <row r="5" ht="38" customHeight="1">
      <c r="A5" t="s" s="27">
        <v>89</v>
      </c>
      <c r="B5" t="s" s="27">
        <v>90</v>
      </c>
      <c r="C5" t="s" s="27">
        <v>91</v>
      </c>
      <c r="D5" s="35"/>
      <c r="E5" s="31"/>
    </row>
    <row r="6" ht="50.5" customHeight="1">
      <c r="A6" t="s" s="27">
        <v>92</v>
      </c>
      <c r="B6" t="s" s="27">
        <v>93</v>
      </c>
      <c r="C6" t="s" s="29">
        <v>94</v>
      </c>
      <c r="D6" s="35"/>
      <c r="E6" s="31"/>
    </row>
    <row r="7" ht="15.2" customHeight="1">
      <c r="A7" s="30"/>
      <c r="B7" s="30"/>
      <c r="C7" s="30"/>
      <c r="D7" s="31"/>
      <c r="E7" s="31"/>
    </row>
    <row r="8" ht="14.7" customHeight="1">
      <c r="A8" s="31"/>
      <c r="B8" s="31"/>
      <c r="C8" s="31"/>
      <c r="D8" s="31"/>
      <c r="E8" s="31"/>
    </row>
    <row r="9" ht="14.7" customHeight="1">
      <c r="A9" s="31"/>
      <c r="B9" s="31"/>
      <c r="C9" s="31"/>
      <c r="D9" s="31"/>
      <c r="E9" s="31"/>
    </row>
    <row r="10" ht="14.7" customHeight="1">
      <c r="A10" s="31"/>
      <c r="B10" s="31"/>
      <c r="C10" s="31"/>
      <c r="D10" s="31"/>
      <c r="E10" s="31"/>
    </row>
  </sheetData>
  <mergeCells count="1">
    <mergeCell ref="A1:C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2.5" customHeight="1" outlineLevelRow="0" outlineLevelCol="0"/>
  <cols>
    <col min="1" max="1" width="14.3516" style="36" customWidth="1"/>
    <col min="2" max="5" width="8.85156" style="36" customWidth="1"/>
    <col min="6" max="16384" width="8.85156" style="36" customWidth="1"/>
  </cols>
  <sheetData>
    <row r="1" ht="16" customHeight="1">
      <c r="A1" t="s" s="33">
        <v>95</v>
      </c>
      <c r="B1" s="34"/>
      <c r="C1" s="26"/>
      <c r="D1" s="31"/>
      <c r="E1" s="31"/>
    </row>
    <row r="2" ht="38" customHeight="1">
      <c r="A2" t="s" s="27">
        <v>80</v>
      </c>
      <c r="B2" t="s" s="27">
        <v>81</v>
      </c>
      <c r="C2" t="s" s="29">
        <v>82</v>
      </c>
      <c r="D2" s="35"/>
      <c r="E2" s="31"/>
    </row>
    <row r="3" ht="25.5" customHeight="1">
      <c r="A3" t="s" s="27">
        <v>96</v>
      </c>
      <c r="B3" t="s" s="27">
        <v>97</v>
      </c>
      <c r="C3" t="s" s="27">
        <v>98</v>
      </c>
      <c r="D3" s="35"/>
      <c r="E3" s="31"/>
    </row>
    <row r="4" ht="25.5" customHeight="1">
      <c r="A4" t="s" s="27">
        <v>99</v>
      </c>
      <c r="B4" t="s" s="27">
        <v>100</v>
      </c>
      <c r="C4" t="s" s="27">
        <v>101</v>
      </c>
      <c r="D4" s="35"/>
      <c r="E4" s="31"/>
    </row>
    <row r="5" ht="25.5" customHeight="1">
      <c r="A5" t="s" s="27">
        <v>102</v>
      </c>
      <c r="B5" t="s" s="27">
        <v>103</v>
      </c>
      <c r="C5" t="s" s="27">
        <v>104</v>
      </c>
      <c r="D5" s="35"/>
      <c r="E5" s="31"/>
    </row>
    <row r="6" ht="15.2" customHeight="1">
      <c r="A6" s="30"/>
      <c r="B6" s="30"/>
      <c r="C6" s="30"/>
      <c r="D6" s="31"/>
      <c r="E6" s="31"/>
    </row>
    <row r="7" ht="14.7" customHeight="1">
      <c r="A7" s="31"/>
      <c r="B7" s="31"/>
      <c r="C7" s="31"/>
      <c r="D7" s="31"/>
      <c r="E7" s="31"/>
    </row>
    <row r="8" ht="14.7" customHeight="1">
      <c r="A8" s="31"/>
      <c r="B8" s="31"/>
      <c r="C8" s="31"/>
      <c r="D8" s="31"/>
      <c r="E8" s="31"/>
    </row>
    <row r="9" ht="14.7" customHeight="1">
      <c r="A9" s="31"/>
      <c r="B9" s="31"/>
      <c r="C9" s="31"/>
      <c r="D9" s="31"/>
      <c r="E9" s="31"/>
    </row>
    <row r="10" ht="14.7" customHeight="1">
      <c r="A10" s="31"/>
      <c r="B10" s="31"/>
      <c r="C10" s="31"/>
      <c r="D10" s="31"/>
      <c r="E10" s="31"/>
    </row>
  </sheetData>
  <mergeCells count="1">
    <mergeCell ref="A1:B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2.5" customHeight="1" outlineLevelRow="0" outlineLevelCol="0"/>
  <cols>
    <col min="1" max="1" width="8.85156" style="37" customWidth="1"/>
    <col min="2" max="2" width="10.5" style="37" customWidth="1"/>
    <col min="3" max="5" width="8.85156" style="37" customWidth="1"/>
    <col min="6" max="16384" width="8.85156" style="37" customWidth="1"/>
  </cols>
  <sheetData>
    <row r="1" ht="16" customHeight="1">
      <c r="A1" t="s" s="33">
        <v>105</v>
      </c>
      <c r="B1" s="34"/>
      <c r="C1" s="26"/>
      <c r="D1" s="31"/>
      <c r="E1" s="31"/>
    </row>
    <row r="2" ht="38" customHeight="1">
      <c r="A2" t="s" s="27">
        <v>80</v>
      </c>
      <c r="B2" t="s" s="27">
        <v>81</v>
      </c>
      <c r="C2" t="s" s="29">
        <v>82</v>
      </c>
      <c r="D2" s="35"/>
      <c r="E2" s="31"/>
    </row>
    <row r="3" ht="50.5" customHeight="1">
      <c r="A3" t="s" s="27">
        <v>106</v>
      </c>
      <c r="B3" t="s" s="27">
        <v>90</v>
      </c>
      <c r="C3" t="s" s="27">
        <v>91</v>
      </c>
      <c r="D3" s="35"/>
      <c r="E3" s="31"/>
    </row>
    <row r="4" ht="50.5" customHeight="1">
      <c r="A4" t="s" s="27">
        <v>107</v>
      </c>
      <c r="B4" t="s" s="27">
        <v>108</v>
      </c>
      <c r="C4" t="s" s="27">
        <v>109</v>
      </c>
      <c r="D4" s="35"/>
      <c r="E4" s="31"/>
    </row>
    <row r="5" ht="50.5" customHeight="1">
      <c r="A5" t="s" s="27">
        <v>110</v>
      </c>
      <c r="B5" t="s" s="27">
        <v>111</v>
      </c>
      <c r="C5" t="s" s="27">
        <v>71</v>
      </c>
      <c r="D5" s="35"/>
      <c r="E5" s="31"/>
    </row>
    <row r="6" ht="15.2" customHeight="1">
      <c r="A6" s="30"/>
      <c r="B6" s="30"/>
      <c r="C6" s="30"/>
      <c r="D6" s="31"/>
      <c r="E6" s="31"/>
    </row>
    <row r="7" ht="14.7" customHeight="1">
      <c r="A7" s="31"/>
      <c r="B7" s="31"/>
      <c r="C7" s="31"/>
      <c r="D7" s="31"/>
      <c r="E7" s="31"/>
    </row>
    <row r="8" ht="14.7" customHeight="1">
      <c r="A8" s="31"/>
      <c r="B8" s="31"/>
      <c r="C8" s="31"/>
      <c r="D8" s="31"/>
      <c r="E8" s="31"/>
    </row>
    <row r="9" ht="14.7" customHeight="1">
      <c r="A9" s="31"/>
      <c r="B9" s="31"/>
      <c r="C9" s="31"/>
      <c r="D9" s="31"/>
      <c r="E9" s="31"/>
    </row>
    <row r="10" ht="14.7" customHeight="1">
      <c r="A10" s="31"/>
      <c r="B10" s="31"/>
      <c r="C10" s="31"/>
      <c r="D10" s="31"/>
      <c r="E10" s="31"/>
    </row>
  </sheetData>
  <mergeCells count="1">
    <mergeCell ref="A1:B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2.5" customHeight="1" outlineLevelRow="0" outlineLevelCol="0"/>
  <cols>
    <col min="1" max="5" width="8.85156" style="38" customWidth="1"/>
    <col min="6" max="16384" width="8.85156" style="38" customWidth="1"/>
  </cols>
  <sheetData>
    <row r="1" ht="14.7" customHeight="1">
      <c r="A1" s="31"/>
      <c r="B1" s="31"/>
      <c r="C1" s="31"/>
      <c r="D1" s="31"/>
      <c r="E1" s="31"/>
    </row>
    <row r="2" ht="14.7" customHeight="1">
      <c r="A2" s="31"/>
      <c r="B2" s="31"/>
      <c r="C2" s="31"/>
      <c r="D2" s="31"/>
      <c r="E2" s="31"/>
    </row>
    <row r="3" ht="14.7" customHeight="1">
      <c r="A3" s="31"/>
      <c r="B3" s="31"/>
      <c r="C3" s="31"/>
      <c r="D3" s="31"/>
      <c r="E3" s="31"/>
    </row>
    <row r="4" ht="14.7" customHeight="1">
      <c r="A4" s="31"/>
      <c r="B4" s="31"/>
      <c r="C4" s="31"/>
      <c r="D4" s="31"/>
      <c r="E4" s="31"/>
    </row>
    <row r="5" ht="14.7" customHeight="1">
      <c r="A5" s="31"/>
      <c r="B5" s="31"/>
      <c r="C5" s="31"/>
      <c r="D5" s="31"/>
      <c r="E5" s="31"/>
    </row>
    <row r="6" ht="14.7" customHeight="1">
      <c r="A6" s="31"/>
      <c r="B6" s="31"/>
      <c r="C6" s="31"/>
      <c r="D6" s="31"/>
      <c r="E6" s="31"/>
    </row>
    <row r="7" ht="14.7" customHeight="1">
      <c r="A7" s="31"/>
      <c r="B7" s="31"/>
      <c r="C7" s="31"/>
      <c r="D7" s="31"/>
      <c r="E7" s="31"/>
    </row>
    <row r="8" ht="14.7" customHeight="1">
      <c r="A8" s="31"/>
      <c r="B8" s="31"/>
      <c r="C8" s="31"/>
      <c r="D8" s="31"/>
      <c r="E8" s="31"/>
    </row>
    <row r="9" ht="14.7" customHeight="1">
      <c r="A9" s="31"/>
      <c r="B9" s="31"/>
      <c r="C9" s="31"/>
      <c r="D9" s="31"/>
      <c r="E9" s="31"/>
    </row>
    <row r="10" ht="14.7" customHeight="1">
      <c r="A10" s="31"/>
      <c r="B10" s="31"/>
      <c r="C10" s="31"/>
      <c r="D10" s="31"/>
      <c r="E10" s="3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2.5" customHeight="1" outlineLevelRow="0" outlineLevelCol="0"/>
  <cols>
    <col min="1" max="5" width="8.85156" style="39" customWidth="1"/>
    <col min="6" max="16384" width="8.85156" style="39" customWidth="1"/>
  </cols>
  <sheetData>
    <row r="1" ht="15.5" customHeight="1">
      <c r="A1" t="s" s="40">
        <v>47</v>
      </c>
      <c r="B1" s="41"/>
      <c r="C1" s="31"/>
      <c r="D1" s="31"/>
      <c r="E1" s="31"/>
    </row>
    <row r="2" ht="33.5" customHeight="1">
      <c r="A2" t="s" s="42">
        <v>112</v>
      </c>
      <c r="B2" s="31"/>
      <c r="C2" s="31"/>
      <c r="D2" s="31"/>
      <c r="E2" s="31"/>
    </row>
    <row r="3" ht="45.5" customHeight="1">
      <c r="A3" t="s" s="42">
        <v>113</v>
      </c>
      <c r="B3" s="31"/>
      <c r="C3" s="31"/>
      <c r="D3" s="31"/>
      <c r="E3" s="31"/>
    </row>
    <row r="4" ht="67.5" customHeight="1">
      <c r="A4" t="s" s="42">
        <v>114</v>
      </c>
      <c r="B4" s="31"/>
      <c r="C4" s="31"/>
      <c r="D4" s="31"/>
      <c r="E4" s="31"/>
    </row>
    <row r="5" ht="8" customHeight="1">
      <c r="A5" s="31"/>
      <c r="B5" s="31"/>
      <c r="C5" s="31"/>
      <c r="D5" s="31"/>
      <c r="E5" s="31"/>
    </row>
    <row r="6" ht="8.5" customHeight="1">
      <c r="A6" s="31"/>
      <c r="B6" s="31"/>
      <c r="C6" s="31"/>
      <c r="D6" s="31"/>
      <c r="E6" s="31"/>
    </row>
    <row r="7" ht="14.7" customHeight="1">
      <c r="A7" s="31"/>
      <c r="B7" s="31"/>
      <c r="C7" s="31"/>
      <c r="D7" s="31"/>
      <c r="E7" s="31"/>
    </row>
    <row r="8" ht="14.7" customHeight="1">
      <c r="A8" s="31"/>
      <c r="B8" s="31"/>
      <c r="C8" s="31"/>
      <c r="D8" s="31"/>
      <c r="E8" s="31"/>
    </row>
    <row r="9" ht="14.7" customHeight="1">
      <c r="A9" s="31"/>
      <c r="B9" s="31"/>
      <c r="C9" s="31"/>
      <c r="D9" s="31"/>
      <c r="E9" s="31"/>
    </row>
    <row r="10" ht="14.7" customHeight="1">
      <c r="A10" s="31"/>
      <c r="B10" s="31"/>
      <c r="C10" s="31"/>
      <c r="D10" s="31"/>
      <c r="E10" s="31"/>
    </row>
  </sheetData>
  <mergeCells count="4">
    <mergeCell ref="A1:B1"/>
    <mergeCell ref="A2:E2"/>
    <mergeCell ref="A3:E3"/>
    <mergeCell ref="A4:E6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G16"/>
  <sheetViews>
    <sheetView workbookViewId="0" showGridLines="0" defaultGridColor="1"/>
  </sheetViews>
  <sheetFormatPr defaultColWidth="8.83333" defaultRowHeight="12.5" customHeight="1" outlineLevelRow="0" outlineLevelCol="0"/>
  <cols>
    <col min="1" max="1" width="22.8516" style="43" customWidth="1"/>
    <col min="2" max="2" width="22.1719" style="43" customWidth="1"/>
    <col min="3" max="3" width="28.1719" style="43" customWidth="1"/>
    <col min="4" max="4" width="21.1719" style="43" customWidth="1"/>
    <col min="5" max="5" width="24.8516" style="43" customWidth="1"/>
    <col min="6" max="6" width="20.3516" style="43" customWidth="1"/>
    <col min="7" max="7" width="8.85156" style="43" customWidth="1"/>
    <col min="8" max="16384" width="8.85156" style="43" customWidth="1"/>
  </cols>
  <sheetData>
    <row r="1" ht="15.2" customHeight="1">
      <c r="A1" s="26"/>
      <c r="B1" s="26"/>
      <c r="C1" s="26"/>
      <c r="D1" s="26"/>
      <c r="E1" s="26"/>
      <c r="F1" s="26"/>
      <c r="G1" s="31"/>
    </row>
    <row r="2" ht="13" customHeight="1">
      <c r="A2" t="s" s="44">
        <v>115</v>
      </c>
      <c r="B2" t="s" s="44">
        <v>116</v>
      </c>
      <c r="C2" t="s" s="44">
        <v>117</v>
      </c>
      <c r="D2" t="s" s="44">
        <v>118</v>
      </c>
      <c r="E2" t="s" s="44">
        <v>119</v>
      </c>
      <c r="F2" t="s" s="45">
        <v>120</v>
      </c>
      <c r="G2" s="35"/>
    </row>
    <row r="3" ht="20.5" customHeight="1">
      <c r="A3" t="s" s="27">
        <v>121</v>
      </c>
      <c r="B3" s="46">
        <v>3500</v>
      </c>
      <c r="C3" t="s" s="27">
        <v>122</v>
      </c>
      <c r="D3" s="46">
        <v>2300</v>
      </c>
      <c r="E3" s="46">
        <v>750</v>
      </c>
      <c r="F3" t="s" s="27">
        <v>123</v>
      </c>
      <c r="G3" s="35"/>
    </row>
    <row r="4" ht="26" customHeight="1">
      <c r="A4" t="s" s="27">
        <v>124</v>
      </c>
      <c r="B4" s="46">
        <v>14500</v>
      </c>
      <c r="C4" t="s" s="27">
        <v>125</v>
      </c>
      <c r="D4" s="46">
        <v>11500</v>
      </c>
      <c r="E4" s="46">
        <v>1200</v>
      </c>
      <c r="F4" t="s" s="27">
        <v>126</v>
      </c>
      <c r="G4" s="35"/>
    </row>
    <row r="5" ht="20" customHeight="1">
      <c r="A5" t="s" s="27">
        <v>127</v>
      </c>
      <c r="B5" s="46">
        <v>4500</v>
      </c>
      <c r="C5" t="s" s="27">
        <v>128</v>
      </c>
      <c r="D5" s="46">
        <v>1800</v>
      </c>
      <c r="E5" s="46">
        <v>450</v>
      </c>
      <c r="F5" t="s" s="27">
        <v>129</v>
      </c>
      <c r="G5" s="35"/>
    </row>
    <row r="6" ht="22.5" customHeight="1">
      <c r="A6" t="s" s="27">
        <v>130</v>
      </c>
      <c r="B6" s="46">
        <v>28000</v>
      </c>
      <c r="C6" t="s" s="27">
        <v>131</v>
      </c>
      <c r="D6" s="46">
        <v>19600</v>
      </c>
      <c r="E6" s="46">
        <v>2400</v>
      </c>
      <c r="F6" t="s" s="27">
        <v>132</v>
      </c>
      <c r="G6" s="35"/>
    </row>
    <row r="7" ht="15.2" customHeight="1">
      <c r="A7" s="30"/>
      <c r="B7" s="30"/>
      <c r="C7" s="30"/>
      <c r="D7" s="30"/>
      <c r="E7" s="30"/>
      <c r="F7" s="30"/>
      <c r="G7" s="31"/>
    </row>
    <row r="8" ht="14.7" customHeight="1">
      <c r="A8" s="31"/>
      <c r="B8" s="31"/>
      <c r="C8" s="31"/>
      <c r="D8" s="31"/>
      <c r="E8" s="31"/>
      <c r="F8" s="31"/>
      <c r="G8" s="31"/>
    </row>
    <row r="9" ht="14.7" customHeight="1">
      <c r="A9" t="s" s="47">
        <v>133</v>
      </c>
      <c r="B9" s="31"/>
      <c r="C9" s="31"/>
      <c r="D9" s="31"/>
      <c r="E9" s="31"/>
      <c r="F9" s="31"/>
      <c r="G9" s="31"/>
    </row>
    <row r="10" ht="14.7" customHeight="1">
      <c r="A10" s="31"/>
      <c r="B10" s="31"/>
      <c r="C10" s="31"/>
      <c r="D10" s="31"/>
      <c r="E10" s="31"/>
      <c r="F10" s="31"/>
      <c r="G10" s="31"/>
    </row>
    <row r="11" ht="14.7" customHeight="1">
      <c r="A11" s="31"/>
      <c r="B11" s="31"/>
      <c r="C11" s="31"/>
      <c r="D11" s="31"/>
      <c r="E11" s="31"/>
      <c r="F11" s="31"/>
      <c r="G11" s="31"/>
    </row>
    <row r="12" ht="17" customHeight="1">
      <c r="A12" t="s" s="42">
        <v>134</v>
      </c>
      <c r="B12" s="31"/>
      <c r="C12" s="31"/>
      <c r="D12" s="31"/>
      <c r="E12" s="31"/>
      <c r="F12" s="31"/>
      <c r="G12" s="31"/>
    </row>
    <row r="13" ht="14.7" customHeight="1">
      <c r="A13" s="31"/>
      <c r="B13" s="31"/>
      <c r="C13" s="31"/>
      <c r="D13" s="31"/>
      <c r="E13" s="31"/>
      <c r="F13" s="31"/>
      <c r="G13" s="31"/>
    </row>
    <row r="14" ht="17" customHeight="1">
      <c r="A14" t="s" s="42">
        <v>135</v>
      </c>
      <c r="B14" s="31"/>
      <c r="C14" s="31"/>
      <c r="D14" s="31"/>
      <c r="E14" s="31"/>
      <c r="F14" s="31"/>
      <c r="G14" s="31"/>
    </row>
    <row r="15" ht="14.7" customHeight="1">
      <c r="A15" s="31"/>
      <c r="B15" s="31"/>
      <c r="C15" s="31"/>
      <c r="D15" s="31"/>
      <c r="E15" s="31"/>
      <c r="F15" s="31"/>
      <c r="G15" s="31"/>
    </row>
    <row r="16" ht="31.5" customHeight="1">
      <c r="A16" t="s" s="42">
        <v>136</v>
      </c>
      <c r="B16" s="31"/>
      <c r="C16" s="31"/>
      <c r="D16" s="31"/>
      <c r="E16" s="31"/>
      <c r="F16" s="31"/>
      <c r="G16" s="31"/>
    </row>
  </sheetData>
  <mergeCells count="3">
    <mergeCell ref="A16:E16"/>
    <mergeCell ref="A14:E14"/>
    <mergeCell ref="A12:C12"/>
  </mergeCells>
  <conditionalFormatting sqref="B3:B6 D3:E6">
    <cfRule type="cellIs" dxfId="0" priority="1" operator="lessThan" stopIfTrue="1">
      <formula>0</formula>
    </cfRule>
  </conditionalFormatting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